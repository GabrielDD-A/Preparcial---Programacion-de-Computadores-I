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is" sheetId="1" state="visible" r:id="rId3"/>
    <sheet name="Prueba de diseñ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<sst xmlns="http://schemas.openxmlformats.org/spreadsheetml/2006/main" count="312" uniqueCount="134">
  <si>
    <t xml:space="preserve">Proyecto: Control de caja – PagaYa S.A.S.</t>
  </si>
  <si>
    <t xml:space="preserve">Etapa: Análisis (tabla de entradas, salidas y procesos)</t>
  </si>
  <si>
    <t xml:space="preserve">1. Tabla general de entradas, procesos y salidas</t>
  </si>
  <si>
    <t xml:space="preserve">ENTRADAS</t>
  </si>
  <si>
    <t xml:space="preserve">PROCESOS</t>
  </si>
  <si>
    <t xml:space="preserve">SALIDAS</t>
  </si>
  <si>
    <t xml:space="preserve">Código o nombre del cajero (texto).</t>
  </si>
  <si>
    <t xml:space="preserve">1. Solicitar el cajero y el tope; repetir la solicitud del tope mientras no sea un número mayor que cero.</t>
  </si>
  <si>
    <t xml:space="preserve">Mensaje de suspensión (solo si se alcanza el tope): "CAJA SUSPENDIDA: se alcanzó el tope de recaudo. Dirijase a tesorería."</t>
  </si>
  <si>
    <t xml:space="preserve">Tope máximo de recaudo del turno (entero en COP, mayor que cero).</t>
  </si>
  <si>
    <t xml:space="preserve">2. Inicializar recaudo_total = 0 y num_transacciones = 0.</t>
  </si>
  <si>
    <t xml:space="preserve">Mensajes de error por tope o monto inválido.</t>
  </si>
  <si>
    <t xml:space="preserve">Monto recibido de cada cliente, en orden de llegada (entero en COP; puede ser inválido: negativo o texto).</t>
  </si>
  <si>
    <t xml:space="preserve">3. Mientras recaudo_total &lt; tope (caja activa), solicitar el monto del siguiente cliente.</t>
  </si>
  <si>
    <t xml:space="preserve">REPORTE DE TURNO:</t>
  </si>
  <si>
    <t xml:space="preserve">Indicador de fin de cola: 0 o la palabra FIN.</t>
  </si>
  <si>
    <t xml:space="preserve">4. Si se digita 0 o FIN: terminar el turno con motivo "Fin de cola".</t>
  </si>
  <si>
    <t xml:space="preserve">  • Cajero</t>
  </si>
  <si>
    <t xml:space="preserve">5. Si el monto no es numérico o es menor o igual a cero: rechazarlo (sin acumular ni contar) y volver a solicitarlo.</t>
  </si>
  <si>
    <t xml:space="preserve">  • Tope asignado</t>
  </si>
  <si>
    <t xml:space="preserve">6. Si el monto es válido: recaudo_total = recaudo_total + monto; num_transacciones = num_transacciones + 1.</t>
  </si>
  <si>
    <t xml:space="preserve">  • Transacciones procesadas</t>
  </si>
  <si>
    <t xml:space="preserve">7. Si recaudo_total &gt;= tope: mostrar el mensaje de suspensión, dejar de aceptar transacciones y cerrar con motivo "Tope alcanzado".</t>
  </si>
  <si>
    <t xml:space="preserve">  • Recaudo total</t>
  </si>
  <si>
    <t xml:space="preserve">8. Calcular promedio = recaudo_total / num_transacciones (0 si no hubo transacciones).</t>
  </si>
  <si>
    <t xml:space="preserve">  • Promedio por transacción (2 decimales)</t>
  </si>
  <si>
    <t xml:space="preserve">9. Aplicar formato: miles con separador y promedio con dos decimales.</t>
  </si>
  <si>
    <t xml:space="preserve">  • Motivo de cierre (Tope alcanzado / Fin de cola)</t>
  </si>
  <si>
    <t xml:space="preserve">10. Mostrar el reporte final del turno.</t>
  </si>
  <si>
    <t xml:space="preserve">2. Detalle de los datos de entrada</t>
  </si>
  <si>
    <t xml:space="preserve">Dato de entrada</t>
  </si>
  <si>
    <t xml:space="preserve">Tipo, unidad y formato</t>
  </si>
  <si>
    <t xml:space="preserve">Restricción, validación y qué ocurre si es inválido</t>
  </si>
  <si>
    <t xml:space="preserve">Cajero</t>
  </si>
  <si>
    <t xml:space="preserve">Texto alfanumérico (ej. C-102). Se lee una sola vez, al inicio del turno.</t>
  </si>
  <si>
    <t xml:space="preserve">No puede estar vacío. Identifica el reporte final.</t>
  </si>
  <si>
    <t xml:space="preserve">Tope máximo de recaudo (tope)</t>
  </si>
  <si>
    <t xml:space="preserve">Numérico entero, en pesos colombianos (COP). Se lee una sola vez, al inicio del turno.</t>
  </si>
  <si>
    <t xml:space="preserve">Debe ser mayor que cero. Si es cero, negativo o no numérico: se muestra error y se vuelve a solicitar hasta que sea válido.</t>
  </si>
  <si>
    <t xml:space="preserve">Monto recibido (monto)</t>
  </si>
  <si>
    <t xml:space="preserve">Numérico entero, en COP. Se lee uno por cada cliente, mientras la caja esté activa.</t>
  </si>
  <si>
    <t xml:space="preserve">Válido solo si es número mayor que cero. Si es negativo o texto: se rechaza, no se acumula ni se cuenta como transacción y se vuelve a solicitar.</t>
  </si>
  <si>
    <t xml:space="preserve">Fin de cola</t>
  </si>
  <si>
    <t xml:space="preserve">El valor 0 o la palabra FIN, digitada en lugar de un monto.</t>
  </si>
  <si>
    <t xml:space="preserve">Termina el turno normalmente antes de alcanzar el tope; el motivo de cierre es "Fin de cola".</t>
  </si>
  <si>
    <t xml:space="preserve">3. Variables de proceso (calculadas por el sistema)</t>
  </si>
  <si>
    <t xml:space="preserve">Dato calculado</t>
  </si>
  <si>
    <t xml:space="preserve">Tipo y valor inicial</t>
  </si>
  <si>
    <t xml:space="preserve">Regla de cálculo</t>
  </si>
  <si>
    <t xml:space="preserve">recaudo_total</t>
  </si>
  <si>
    <t xml:space="preserve">Numérico entero (COP). Inicia en 0.</t>
  </si>
  <si>
    <t xml:space="preserve">recaudo_total = recaudo_total + monto, por cada monto válido. Puede quedar mayor que el tope porque el pago que lo cruza se registra completo.</t>
  </si>
  <si>
    <t xml:space="preserve">num_transacciones</t>
  </si>
  <si>
    <t xml:space="preserve">Numérico entero. Inicia en 0.</t>
  </si>
  <si>
    <t xml:space="preserve">num_transacciones = num_transacciones + 1, por cada monto válido. Los montos rechazados no se cuentan.</t>
  </si>
  <si>
    <t xml:space="preserve">promedio</t>
  </si>
  <si>
    <t xml:space="preserve">Numérico con dos decimales (COP).</t>
  </si>
  <si>
    <t xml:space="preserve">promedio = recaudo_total / num_transacciones. Si num_transacciones = 0, promedio = 0 (evita la división por cero).</t>
  </si>
  <si>
    <t xml:space="preserve">Condición de suspensión</t>
  </si>
  <si>
    <t xml:space="preserve">Lógico (verdadero / falso).</t>
  </si>
  <si>
    <t xml:space="preserve">recaudo_total &gt;= tope → la caja se suspende y no se aceptan más transacciones.</t>
  </si>
  <si>
    <t xml:space="preserve">motivo_cierre</t>
  </si>
  <si>
    <t xml:space="preserve">Texto.</t>
  </si>
  <si>
    <t xml:space="preserve">"Tope alcanzado" si se cumplió la condición de suspensión; "Fin de cola" si el cajero digitó 0 o FIN antes de alcanzar el tope.</t>
  </si>
  <si>
    <t xml:space="preserve">4. Detalle de los datos de salida</t>
  </si>
  <si>
    <t xml:space="preserve">Dato de salida</t>
  </si>
  <si>
    <t xml:space="preserve">Tipo y formato</t>
  </si>
  <si>
    <t xml:space="preserve">Cuándo se muestra</t>
  </si>
  <si>
    <t xml:space="preserve">Mensaje de suspensión</t>
  </si>
  <si>
    <t xml:space="preserve">Texto fijo: "CAJA SUSPENDIDA: se alcanzó el tope de recaudo. Dirijase a tesorería."</t>
  </si>
  <si>
    <t xml:space="preserve">Solo cuando recaudo_total &gt;= tope.</t>
  </si>
  <si>
    <t xml:space="preserve">Siempre, en el reporte final.</t>
  </si>
  <si>
    <t xml:space="preserve">Tope asignado</t>
  </si>
  <si>
    <t xml:space="preserve">COP, con separador de miles (ej. $1.000.000).</t>
  </si>
  <si>
    <t xml:space="preserve">Transacciones procesadas</t>
  </si>
  <si>
    <t xml:space="preserve">Entero.</t>
  </si>
  <si>
    <t xml:space="preserve">Siempre; puede ser 0.</t>
  </si>
  <si>
    <t xml:space="preserve">Recaudo total</t>
  </si>
  <si>
    <t xml:space="preserve">COP, con separador de miles.</t>
  </si>
  <si>
    <t xml:space="preserve">Siempre; puede ser mayor o igual al tope si este se alcanzó.</t>
  </si>
  <si>
    <t xml:space="preserve">Promedio por transacción</t>
  </si>
  <si>
    <t xml:space="preserve">COP con separador de miles y dos decimales (ej. $350.000,00).</t>
  </si>
  <si>
    <t xml:space="preserve">Siempre; muestra 0 si no hubo transacciones, sin generar error.</t>
  </si>
  <si>
    <t xml:space="preserve">Motivo de cierre</t>
  </si>
  <si>
    <t xml:space="preserve">Texto: "Tope alcanzado" o "Fin de cola".</t>
  </si>
  <si>
    <t xml:space="preserve">Mensajes de error</t>
  </si>
  <si>
    <t xml:space="preserve">Cuando el tope inicial o un monto son inválidos, antes de volver a solicitar el dato.</t>
  </si>
  <si>
    <t xml:space="preserve">5. Supuestos y aclaraciones</t>
  </si>
  <si>
    <t xml:space="preserve">1. El valor 0 se interpreta como indicador de fin de cola (RF5) y tiene prioridad sobre la validación de montos (RF3); los demás valores menores o iguales a cero y el texto distinto de FIN se rechazan.</t>
  </si>
  <si>
    <t xml:space="preserve">2. La moneda son pesos colombianos (COP) y los valores son enteros; el promedio se muestra con dos decimales.</t>
  </si>
  <si>
    <t xml:space="preserve">3. El pago que cruza el tope se registra completo y luego se suspende la caja.</t>
  </si>
  <si>
    <t xml:space="preserve">4. Los montos rechazados no se cuentan como transacción ni se acumulan.</t>
  </si>
  <si>
    <t xml:space="preserve">Control de caja PagaYa – Prueba de diseño</t>
  </si>
  <si>
    <t xml:space="preserve">Flechas: ← dato de entrada leído, → dato de salida mostrado. Las celdas de valor con fórmulas se recalculan a partir de las entradas (celdas en azul).</t>
  </si>
  <si>
    <t xml:space="preserve">Proyecto: Control de caja</t>
  </si>
  <si>
    <t xml:space="preserve">Prueba de diseño</t>
  </si>
  <si>
    <t xml:space="preserve">Tope alcanzado (ejemplo del enunciado)</t>
  </si>
  <si>
    <t xml:space="preserve">Conjunto de datos # 1</t>
  </si>
  <si>
    <t xml:space="preserve">#</t>
  </si>
  <si>
    <t xml:space="preserve">Paso</t>
  </si>
  <si>
    <t xml:space="preserve">Variable o expresión</t>
  </si>
  <si>
    <t xml:space="preserve">Valor</t>
  </si>
  <si>
    <t xml:space="preserve">cajero</t>
  </si>
  <si>
    <t xml:space="preserve">C-102</t>
  </si>
  <si>
    <t xml:space="preserve">←</t>
  </si>
  <si>
    <t xml:space="preserve">tope</t>
  </si>
  <si>
    <t xml:space="preserve">tope &gt; 0</t>
  </si>
  <si>
    <t xml:space="preserve">recaudo_total &lt; tope</t>
  </si>
  <si>
    <t xml:space="preserve">monto</t>
  </si>
  <si>
    <t xml:space="preserve">monto = 0 o monto = "FIN"</t>
  </si>
  <si>
    <t xml:space="preserve">monto es número y monto &gt; 0</t>
  </si>
  <si>
    <t xml:space="preserve">acción</t>
  </si>
  <si>
    <t xml:space="preserve">Monto rechazado: no se acumula, se solicita de nuevo</t>
  </si>
  <si>
    <t xml:space="preserve">Tope alcanzado</t>
  </si>
  <si>
    <t xml:space="preserve">mensaje</t>
  </si>
  <si>
    <t xml:space="preserve">CAJA SUSPENDIDA: se alcanzó el tope de recaudo. Dirijase a tesorería.</t>
  </si>
  <si>
    <t xml:space="preserve">→</t>
  </si>
  <si>
    <t xml:space="preserve">REPORTE – Cajero</t>
  </si>
  <si>
    <t xml:space="preserve">REPORTE – Tope asignado</t>
  </si>
  <si>
    <t xml:space="preserve">REPORTE – Transacciones</t>
  </si>
  <si>
    <t xml:space="preserve">REPORTE – Recaudo total</t>
  </si>
  <si>
    <t xml:space="preserve">REPORTE – Promedio/transacción</t>
  </si>
  <si>
    <t xml:space="preserve">REPORTE – Motivo de cierre</t>
  </si>
  <si>
    <t xml:space="preserve">Fin de cola sin alcanzar el tope (con montos inválidos)</t>
  </si>
  <si>
    <t xml:space="preserve">Conjunto de datos # 2</t>
  </si>
  <si>
    <t xml:space="preserve">C-205</t>
  </si>
  <si>
    <t xml:space="preserve">abc</t>
  </si>
  <si>
    <t xml:space="preserve">FIN</t>
  </si>
  <si>
    <t xml:space="preserve">Turno sin transacciones (sin división por cero)</t>
  </si>
  <si>
    <t xml:space="preserve">Conjunto de datos # 3</t>
  </si>
  <si>
    <t xml:space="preserve">C-310</t>
  </si>
  <si>
    <t xml:space="preserve">Tope alcanzado exactamente (recaudo = tope)</t>
  </si>
  <si>
    <t xml:space="preserve">Conjunto de datos # 4</t>
  </si>
  <si>
    <t xml:space="preserve">C-118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</si>
</sst>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General"/>
    <numFmt numFmtId="167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5"/>
      <color rgb="FF1F4E7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66"/>
    <col collapsed="false" customWidth="true" hidden="false" outlineLevel="0" max="4" min="4" style="0" width="5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4" t="s">
        <v>4</v>
      </c>
      <c r="D6" s="4" t="s">
        <v>5</v>
      </c>
    </row>
    <row r="7" customFormat="false" ht="45" hidden="false" customHeight="true" outlineLevel="0" collapsed="false">
      <c r="B7" s="5" t="s">
        <v>6</v>
      </c>
      <c r="C7" s="5" t="s">
        <v>7</v>
      </c>
      <c r="D7" s="5" t="s">
        <v>8</v>
      </c>
    </row>
    <row r="8" customFormat="false" ht="31.5" hidden="false" customHeight="true" outlineLevel="0" collapsed="false">
      <c r="B8" s="5" t="s">
        <v>9</v>
      </c>
      <c r="C8" s="5" t="s">
        <v>10</v>
      </c>
      <c r="D8" s="5" t="s">
        <v>11</v>
      </c>
    </row>
    <row r="9" customFormat="false" ht="45" hidden="false" customHeight="true" outlineLevel="0" collapsed="false">
      <c r="B9" s="5" t="s">
        <v>12</v>
      </c>
      <c r="C9" s="5" t="s">
        <v>13</v>
      </c>
      <c r="D9" s="5" t="s">
        <v>14</v>
      </c>
    </row>
    <row r="10" customFormat="false" ht="31.5" hidden="false" customHeight="true" outlineLevel="0" collapsed="false">
      <c r="B10" s="5" t="s">
        <v>15</v>
      </c>
      <c r="C10" s="5" t="s">
        <v>16</v>
      </c>
      <c r="D10" s="5" t="s">
        <v>17</v>
      </c>
    </row>
    <row r="11" customFormat="false" ht="31.5" hidden="false" customHeight="true" outlineLevel="0" collapsed="false">
      <c r="B11" s="5"/>
      <c r="C11" s="5" t="s">
        <v>18</v>
      </c>
      <c r="D11" s="5" t="s">
        <v>19</v>
      </c>
    </row>
    <row r="12" customFormat="false" ht="31.5" hidden="false" customHeight="true" outlineLevel="0" collapsed="false">
      <c r="B12" s="5"/>
      <c r="C12" s="5" t="s">
        <v>20</v>
      </c>
      <c r="D12" s="5" t="s">
        <v>21</v>
      </c>
    </row>
    <row r="13" customFormat="false" ht="45" hidden="false" customHeight="true" outlineLevel="0" collapsed="false">
      <c r="B13" s="5"/>
      <c r="C13" s="5" t="s">
        <v>22</v>
      </c>
      <c r="D13" s="5" t="s">
        <v>23</v>
      </c>
    </row>
    <row r="14" customFormat="false" ht="31.5" hidden="false" customHeight="true" outlineLevel="0" collapsed="false">
      <c r="B14" s="5"/>
      <c r="C14" s="5" t="s">
        <v>24</v>
      </c>
      <c r="D14" s="5" t="s">
        <v>25</v>
      </c>
    </row>
    <row r="15" customFormat="false" ht="31.5" hidden="false" customHeight="true" outlineLevel="0" collapsed="false">
      <c r="B15" s="5"/>
      <c r="C15" s="5" t="s">
        <v>26</v>
      </c>
      <c r="D15" s="5" t="s">
        <v>27</v>
      </c>
    </row>
    <row r="16" customFormat="false" ht="18" hidden="false" customHeight="true" outlineLevel="0" collapsed="false">
      <c r="B16" s="5"/>
      <c r="C16" s="5" t="s">
        <v>28</v>
      </c>
      <c r="D16" s="5"/>
    </row>
    <row r="18" customFormat="false" ht="19.5" hidden="false" customHeight="true" outlineLevel="0" collapsed="false">
      <c r="B18" s="3" t="s">
        <v>29</v>
      </c>
      <c r="C18" s="3"/>
      <c r="D18" s="3"/>
    </row>
    <row r="19" customFormat="false" ht="19.5" hidden="false" customHeight="true" outlineLevel="0" collapsed="false">
      <c r="B19" s="4" t="s">
        <v>30</v>
      </c>
      <c r="C19" s="4" t="s">
        <v>31</v>
      </c>
      <c r="D19" s="4" t="s">
        <v>32</v>
      </c>
    </row>
    <row r="20" customFormat="false" ht="31.5" hidden="false" customHeight="true" outlineLevel="0" collapsed="false">
      <c r="B20" s="6" t="s">
        <v>33</v>
      </c>
      <c r="C20" s="5" t="s">
        <v>34</v>
      </c>
      <c r="D20" s="5" t="s">
        <v>35</v>
      </c>
    </row>
    <row r="21" customFormat="false" ht="45" hidden="false" customHeight="true" outlineLevel="0" collapsed="false">
      <c r="B21" s="6" t="s">
        <v>36</v>
      </c>
      <c r="C21" s="5" t="s">
        <v>37</v>
      </c>
      <c r="D21" s="5" t="s">
        <v>38</v>
      </c>
    </row>
    <row r="22" customFormat="false" ht="45" hidden="false" customHeight="true" outlineLevel="0" collapsed="false">
      <c r="B22" s="6" t="s">
        <v>39</v>
      </c>
      <c r="C22" s="5" t="s">
        <v>40</v>
      </c>
      <c r="D22" s="5" t="s">
        <v>41</v>
      </c>
    </row>
    <row r="23" customFormat="false" ht="31.5" hidden="false" customHeight="true" outlineLevel="0" collapsed="false">
      <c r="B23" s="6" t="s">
        <v>42</v>
      </c>
      <c r="C23" s="5" t="s">
        <v>43</v>
      </c>
      <c r="D23" s="5" t="s">
        <v>44</v>
      </c>
    </row>
    <row r="25" customFormat="false" ht="19.5" hidden="false" customHeight="true" outlineLevel="0" collapsed="false">
      <c r="B25" s="3" t="s">
        <v>45</v>
      </c>
      <c r="C25" s="3"/>
      <c r="D25" s="3"/>
    </row>
    <row r="26" customFormat="false" ht="19.5" hidden="false" customHeight="true" outlineLevel="0" collapsed="false">
      <c r="B26" s="4" t="s">
        <v>46</v>
      </c>
      <c r="C26" s="4" t="s">
        <v>47</v>
      </c>
      <c r="D26" s="4" t="s">
        <v>48</v>
      </c>
    </row>
    <row r="27" customFormat="false" ht="45" hidden="false" customHeight="true" outlineLevel="0" collapsed="false">
      <c r="B27" s="6" t="s">
        <v>49</v>
      </c>
      <c r="C27" s="5" t="s">
        <v>50</v>
      </c>
      <c r="D27" s="5" t="s">
        <v>51</v>
      </c>
    </row>
    <row r="28" customFormat="false" ht="45" hidden="false" customHeight="true" outlineLevel="0" collapsed="false">
      <c r="B28" s="6" t="s">
        <v>52</v>
      </c>
      <c r="C28" s="5" t="s">
        <v>53</v>
      </c>
      <c r="D28" s="5" t="s">
        <v>54</v>
      </c>
    </row>
    <row r="29" customFormat="false" ht="45" hidden="false" customHeight="true" outlineLevel="0" collapsed="false">
      <c r="B29" s="6" t="s">
        <v>55</v>
      </c>
      <c r="C29" s="5" t="s">
        <v>56</v>
      </c>
      <c r="D29" s="5" t="s">
        <v>57</v>
      </c>
    </row>
    <row r="30" customFormat="false" ht="31.5" hidden="false" customHeight="true" outlineLevel="0" collapsed="false">
      <c r="B30" s="6" t="s">
        <v>58</v>
      </c>
      <c r="C30" s="5" t="s">
        <v>59</v>
      </c>
      <c r="D30" s="5" t="s">
        <v>60</v>
      </c>
    </row>
    <row r="31" customFormat="false" ht="45" hidden="false" customHeight="true" outlineLevel="0" collapsed="false">
      <c r="B31" s="6" t="s">
        <v>61</v>
      </c>
      <c r="C31" s="5" t="s">
        <v>62</v>
      </c>
      <c r="D31" s="5" t="s">
        <v>63</v>
      </c>
    </row>
    <row r="33" customFormat="false" ht="19.5" hidden="false" customHeight="true" outlineLevel="0" collapsed="false">
      <c r="B33" s="3" t="s">
        <v>64</v>
      </c>
      <c r="C33" s="3"/>
      <c r="D33" s="3"/>
    </row>
    <row r="34" customFormat="false" ht="19.5" hidden="false" customHeight="true" outlineLevel="0" collapsed="false">
      <c r="B34" s="4" t="s">
        <v>65</v>
      </c>
      <c r="C34" s="4" t="s">
        <v>66</v>
      </c>
      <c r="D34" s="4" t="s">
        <v>67</v>
      </c>
    </row>
    <row r="35" customFormat="false" ht="31.5" hidden="false" customHeight="true" outlineLevel="0" collapsed="false">
      <c r="B35" s="6" t="s">
        <v>68</v>
      </c>
      <c r="C35" s="5" t="s">
        <v>69</v>
      </c>
      <c r="D35" s="5" t="s">
        <v>70</v>
      </c>
    </row>
    <row r="36" customFormat="false" ht="18" hidden="false" customHeight="true" outlineLevel="0" collapsed="false">
      <c r="B36" s="6" t="s">
        <v>33</v>
      </c>
      <c r="C36" s="5" t="s">
        <v>62</v>
      </c>
      <c r="D36" s="5" t="s">
        <v>71</v>
      </c>
    </row>
    <row r="37" customFormat="false" ht="18" hidden="false" customHeight="true" outlineLevel="0" collapsed="false">
      <c r="B37" s="6" t="s">
        <v>72</v>
      </c>
      <c r="C37" s="5" t="s">
        <v>73</v>
      </c>
      <c r="D37" s="5" t="s">
        <v>71</v>
      </c>
    </row>
    <row r="38" customFormat="false" ht="18" hidden="false" customHeight="true" outlineLevel="0" collapsed="false">
      <c r="B38" s="6" t="s">
        <v>74</v>
      </c>
      <c r="C38" s="5" t="s">
        <v>75</v>
      </c>
      <c r="D38" s="5" t="s">
        <v>76</v>
      </c>
    </row>
    <row r="39" customFormat="false" ht="31.5" hidden="false" customHeight="true" outlineLevel="0" collapsed="false">
      <c r="B39" s="6" t="s">
        <v>77</v>
      </c>
      <c r="C39" s="5" t="s">
        <v>78</v>
      </c>
      <c r="D39" s="5" t="s">
        <v>79</v>
      </c>
    </row>
    <row r="40" customFormat="false" ht="31.5" hidden="false" customHeight="true" outlineLevel="0" collapsed="false">
      <c r="B40" s="6" t="s">
        <v>80</v>
      </c>
      <c r="C40" s="5" t="s">
        <v>81</v>
      </c>
      <c r="D40" s="5" t="s">
        <v>82</v>
      </c>
    </row>
    <row r="41" customFormat="false" ht="18" hidden="false" customHeight="true" outlineLevel="0" collapsed="false">
      <c r="B41" s="6" t="s">
        <v>83</v>
      </c>
      <c r="C41" s="5" t="s">
        <v>84</v>
      </c>
      <c r="D41" s="5" t="s">
        <v>71</v>
      </c>
    </row>
    <row r="42" customFormat="false" ht="31.5" hidden="false" customHeight="true" outlineLevel="0" collapsed="false">
      <c r="B42" s="6" t="s">
        <v>85</v>
      </c>
      <c r="C42" s="5" t="s">
        <v>62</v>
      </c>
      <c r="D42" s="5" t="s">
        <v>86</v>
      </c>
    </row>
    <row r="44" customFormat="false" ht="19.5" hidden="false" customHeight="true" outlineLevel="0" collapsed="false">
      <c r="B44" s="3" t="s">
        <v>87</v>
      </c>
      <c r="C44" s="3"/>
      <c r="D44" s="3"/>
    </row>
    <row r="45" customFormat="false" ht="27.75" hidden="false" customHeight="true" outlineLevel="0" collapsed="false">
      <c r="B45" s="7" t="s">
        <v>88</v>
      </c>
      <c r="C45" s="7"/>
      <c r="D45" s="7"/>
    </row>
    <row r="46" customFormat="false" ht="27.75" hidden="false" customHeight="true" outlineLevel="0" collapsed="false">
      <c r="B46" s="7" t="s">
        <v>89</v>
      </c>
      <c r="C46" s="7"/>
      <c r="D46" s="7"/>
    </row>
    <row r="47" customFormat="false" ht="27.75" hidden="false" customHeight="true" outlineLevel="0" collapsed="false">
      <c r="B47" s="7" t="s">
        <v>90</v>
      </c>
      <c r="C47" s="7"/>
      <c r="D47" s="7"/>
    </row>
    <row r="48" customFormat="false" ht="27.75" hidden="false" customHeight="true" outlineLevel="0" collapsed="false">
      <c r="B48" s="7" t="s">
        <v>91</v>
      </c>
      <c r="C48" s="7"/>
      <c r="D48" s="7"/>
    </row>
  </sheetData>
  <mergeCells count="9">
    <mergeCell ref="B5:D5"/>
    <mergeCell ref="B18:D18"/>
    <mergeCell ref="B25:D25"/>
    <mergeCell ref="B33:D33"/>
    <mergeCell ref="B44:D44"/>
    <mergeCell ref="B45:D45"/>
    <mergeCell ref="B46:D46"/>
    <mergeCell ref="B47:D47"/>
    <mergeCell ref="B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2"/>
    <col collapsed="false" customWidth="true" hidden="false" outlineLevel="0" max="2" min="2" style="8" width="6"/>
    <col collapsed="false" customWidth="true" hidden="false" outlineLevel="0" max="3" min="3" style="8" width="8"/>
    <col collapsed="false" customWidth="true" hidden="false" outlineLevel="0" max="4" min="4" style="8" width="46"/>
    <col collapsed="false" customWidth="true" hidden="false" outlineLevel="0" max="5" min="5" style="8" width="54"/>
    <col collapsed="false" customWidth="true" hidden="false" outlineLevel="0" max="6" min="6" style="8" width="5"/>
  </cols>
  <sheetData>
    <row r="2" customFormat="false" ht="18" hidden="false" customHeight="true" outlineLevel="0" collapsed="false">
      <c r="B2" s="9" t="s">
        <v>92</v>
      </c>
    </row>
    <row r="3" customFormat="false" ht="15" hidden="false" customHeight="true" outlineLevel="0" collapsed="false">
      <c r="B3" s="10" t="s">
        <v>93</v>
      </c>
    </row>
    <row r="5" customFormat="false" ht="15" hidden="false" customHeight="true" outlineLevel="0" collapsed="false">
      <c r="B5" s="11" t="s">
        <v>94</v>
      </c>
      <c r="C5" s="11"/>
      <c r="D5" s="11"/>
      <c r="E5" s="12" t="s">
        <v>95</v>
      </c>
    </row>
    <row r="6" customFormat="false" ht="15" hidden="false" customHeight="true" outlineLevel="0" collapsed="false">
      <c r="B6" s="11" t="s">
        <v>96</v>
      </c>
      <c r="C6" s="11"/>
      <c r="D6" s="11"/>
      <c r="E6" s="12" t="s">
        <v>97</v>
      </c>
    </row>
    <row r="8" customFormat="false" ht="15" hidden="false" customHeight="true" outlineLevel="0" collapsed="false">
      <c r="B8" s="13" t="s">
        <v>98</v>
      </c>
      <c r="C8" s="13" t="s">
        <v>99</v>
      </c>
      <c r="D8" s="13" t="s">
        <v>100</v>
      </c>
      <c r="E8" s="13" t="s">
        <v>101</v>
      </c>
    </row>
    <row r="9" customFormat="false" ht="15" hidden="false" customHeight="true" outlineLevel="0" collapsed="false">
      <c r="B9" s="14" t="n">
        <v>1</v>
      </c>
      <c r="C9" s="14" t="n">
        <v>1</v>
      </c>
      <c r="D9" s="14" t="s">
        <v>102</v>
      </c>
      <c r="E9" s="15" t="s">
        <v>103</v>
      </c>
      <c r="F9" s="16" t="s">
        <v>104</v>
      </c>
    </row>
    <row r="10" customFormat="false" ht="15" hidden="false" customHeight="true" outlineLevel="0" collapsed="false">
      <c r="B10" s="14" t="n">
        <v>2</v>
      </c>
      <c r="C10" s="14" t="n">
        <v>2</v>
      </c>
      <c r="D10" s="14" t="s">
        <v>105</v>
      </c>
      <c r="E10" s="17" t="n">
        <v>1000000</v>
      </c>
      <c r="F10" s="16" t="s">
        <v>104</v>
      </c>
    </row>
    <row r="11" customFormat="false" ht="15" hidden="false" customHeight="true" outlineLevel="0" collapsed="false">
      <c r="B11" s="14" t="n">
        <v>3</v>
      </c>
      <c r="C11" s="14" t="n">
        <v>3</v>
      </c>
      <c r="D11" s="14" t="s">
        <v>106</v>
      </c>
      <c r="E11" s="18" t="b">
        <f aca="false">E10&gt;0</f>
        <v>1</v>
      </c>
    </row>
    <row r="12" customFormat="false" ht="15" hidden="false" customHeight="true" outlineLevel="0" collapsed="false">
      <c r="B12" s="14" t="n">
        <v>4</v>
      </c>
      <c r="C12" s="14" t="n">
        <v>4</v>
      </c>
      <c r="D12" s="14" t="s">
        <v>49</v>
      </c>
      <c r="E12" s="19" t="n">
        <v>0</v>
      </c>
    </row>
    <row r="13" customFormat="false" ht="15" hidden="false" customHeight="true" outlineLevel="0" collapsed="false">
      <c r="B13" s="14" t="n">
        <v>5</v>
      </c>
      <c r="C13" s="14" t="n">
        <v>5</v>
      </c>
      <c r="D13" s="14" t="s">
        <v>52</v>
      </c>
      <c r="E13" s="14" t="n">
        <v>0</v>
      </c>
    </row>
    <row r="14" customFormat="false" ht="15" hidden="false" customHeight="true" outlineLevel="0" collapsed="false">
      <c r="B14" s="14" t="n">
        <v>6</v>
      </c>
      <c r="C14" s="14" t="n">
        <v>6</v>
      </c>
      <c r="D14" s="14" t="s">
        <v>107</v>
      </c>
      <c r="E14" s="18" t="b">
        <f aca="false">E12&lt;E10</f>
        <v>1</v>
      </c>
    </row>
    <row r="15" customFormat="false" ht="15" hidden="false" customHeight="true" outlineLevel="0" collapsed="false">
      <c r="B15" s="14" t="n">
        <v>7</v>
      </c>
      <c r="C15" s="14" t="n">
        <v>7</v>
      </c>
      <c r="D15" s="14" t="s">
        <v>108</v>
      </c>
      <c r="E15" s="17" t="n">
        <v>350000</v>
      </c>
      <c r="F15" s="16" t="s">
        <v>104</v>
      </c>
    </row>
    <row r="16" customFormat="false" ht="15" hidden="false" customHeight="true" outlineLevel="0" collapsed="false">
      <c r="B16" s="14" t="n">
        <v>8</v>
      </c>
      <c r="C16" s="14" t="n">
        <v>8</v>
      </c>
      <c r="D16" s="14" t="s">
        <v>109</v>
      </c>
      <c r="E16" s="18" t="b">
        <f aca="false">OR(E15=0,E15="FIN")</f>
        <v>0</v>
      </c>
    </row>
    <row r="17" customFormat="false" ht="15" hidden="false" customHeight="true" outlineLevel="0" collapsed="false">
      <c r="B17" s="14" t="n">
        <v>9</v>
      </c>
      <c r="C17" s="14" t="n">
        <v>9</v>
      </c>
      <c r="D17" s="14" t="s">
        <v>110</v>
      </c>
      <c r="E17" s="18" t="b">
        <f aca="false">IF(ISNUMBER(E15),E15&gt;0,FALSE())</f>
        <v>1</v>
      </c>
    </row>
    <row r="18" customFormat="false" ht="15" hidden="false" customHeight="true" outlineLevel="0" collapsed="false">
      <c r="B18" s="14" t="n">
        <v>10</v>
      </c>
      <c r="C18" s="14" t="n">
        <v>10</v>
      </c>
      <c r="D18" s="14" t="s">
        <v>49</v>
      </c>
      <c r="E18" s="19" t="n">
        <f aca="false">E12+E15</f>
        <v>350000</v>
      </c>
    </row>
    <row r="19" customFormat="false" ht="15" hidden="false" customHeight="true" outlineLevel="0" collapsed="false">
      <c r="B19" s="14" t="n">
        <v>11</v>
      </c>
      <c r="C19" s="14" t="n">
        <v>11</v>
      </c>
      <c r="D19" s="14" t="s">
        <v>52</v>
      </c>
      <c r="E19" s="14" t="n">
        <f aca="false">E13+1</f>
        <v>1</v>
      </c>
    </row>
    <row r="20" customFormat="false" ht="15" hidden="false" customHeight="true" outlineLevel="0" collapsed="false">
      <c r="B20" s="14" t="n">
        <v>12</v>
      </c>
      <c r="C20" s="14" t="n">
        <v>12</v>
      </c>
      <c r="D20" s="14" t="s">
        <v>107</v>
      </c>
      <c r="E20" s="18" t="b">
        <f aca="false">E18&lt;E10</f>
        <v>1</v>
      </c>
    </row>
    <row r="21" customFormat="false" ht="15" hidden="false" customHeight="true" outlineLevel="0" collapsed="false">
      <c r="B21" s="14" t="n">
        <v>13</v>
      </c>
      <c r="C21" s="14" t="n">
        <v>13</v>
      </c>
      <c r="D21" s="14" t="s">
        <v>108</v>
      </c>
      <c r="E21" s="17" t="n">
        <v>-20000</v>
      </c>
      <c r="F21" s="16" t="s">
        <v>104</v>
      </c>
    </row>
    <row r="22" customFormat="false" ht="15" hidden="false" customHeight="true" outlineLevel="0" collapsed="false">
      <c r="B22" s="14" t="n">
        <v>14</v>
      </c>
      <c r="C22" s="14" t="n">
        <v>14</v>
      </c>
      <c r="D22" s="14" t="s">
        <v>109</v>
      </c>
      <c r="E22" s="18" t="b">
        <f aca="false">OR(E21=0,E21="FIN")</f>
        <v>0</v>
      </c>
    </row>
    <row r="23" customFormat="false" ht="15" hidden="false" customHeight="true" outlineLevel="0" collapsed="false">
      <c r="B23" s="14" t="n">
        <v>15</v>
      </c>
      <c r="C23" s="14" t="n">
        <v>15</v>
      </c>
      <c r="D23" s="14" t="s">
        <v>110</v>
      </c>
      <c r="E23" s="18" t="b">
        <f aca="false">IF(ISNUMBER(E21),E21&gt;0,FALSE())</f>
        <v>0</v>
      </c>
    </row>
    <row r="24" customFormat="false" ht="15" hidden="false" customHeight="true" outlineLevel="0" collapsed="false">
      <c r="B24" s="14" t="n">
        <v>16</v>
      </c>
      <c r="C24" s="14" t="n">
        <v>16</v>
      </c>
      <c r="D24" s="14" t="s">
        <v>111</v>
      </c>
      <c r="E24" s="14" t="s">
        <v>112</v>
      </c>
    </row>
    <row r="25" customFormat="false" ht="15" hidden="false" customHeight="true" outlineLevel="0" collapsed="false">
      <c r="B25" s="14" t="n">
        <v>17</v>
      </c>
      <c r="C25" s="14" t="n">
        <v>17</v>
      </c>
      <c r="D25" s="14" t="s">
        <v>107</v>
      </c>
      <c r="E25" s="18" t="b">
        <f aca="false">E18&lt;E10</f>
        <v>1</v>
      </c>
    </row>
    <row r="26" customFormat="false" ht="15" hidden="false" customHeight="true" outlineLevel="0" collapsed="false">
      <c r="B26" s="14" t="n">
        <v>18</v>
      </c>
      <c r="C26" s="14" t="n">
        <v>18</v>
      </c>
      <c r="D26" s="14" t="s">
        <v>108</v>
      </c>
      <c r="E26" s="17" t="n">
        <v>400000</v>
      </c>
      <c r="F26" s="16" t="s">
        <v>104</v>
      </c>
    </row>
    <row r="27" customFormat="false" ht="15" hidden="false" customHeight="true" outlineLevel="0" collapsed="false">
      <c r="B27" s="14" t="n">
        <v>19</v>
      </c>
      <c r="C27" s="14" t="n">
        <v>19</v>
      </c>
      <c r="D27" s="14" t="s">
        <v>109</v>
      </c>
      <c r="E27" s="18" t="b">
        <f aca="false">OR(E26=0,E26="FIN")</f>
        <v>0</v>
      </c>
    </row>
    <row r="28" customFormat="false" ht="15" hidden="false" customHeight="true" outlineLevel="0" collapsed="false">
      <c r="B28" s="14" t="n">
        <v>20</v>
      </c>
      <c r="C28" s="14" t="n">
        <v>20</v>
      </c>
      <c r="D28" s="14" t="s">
        <v>110</v>
      </c>
      <c r="E28" s="18" t="b">
        <f aca="false">IF(ISNUMBER(E26),E26&gt;0,FALSE())</f>
        <v>1</v>
      </c>
    </row>
    <row r="29" customFormat="false" ht="15" hidden="false" customHeight="true" outlineLevel="0" collapsed="false">
      <c r="B29" s="14" t="n">
        <v>21</v>
      </c>
      <c r="C29" s="14" t="n">
        <v>21</v>
      </c>
      <c r="D29" s="14" t="s">
        <v>49</v>
      </c>
      <c r="E29" s="19" t="n">
        <f aca="false">E18+E26</f>
        <v>750000</v>
      </c>
    </row>
    <row r="30" customFormat="false" ht="15" hidden="false" customHeight="true" outlineLevel="0" collapsed="false">
      <c r="B30" s="14" t="n">
        <v>22</v>
      </c>
      <c r="C30" s="14" t="n">
        <v>22</v>
      </c>
      <c r="D30" s="14" t="s">
        <v>52</v>
      </c>
      <c r="E30" s="14" t="n">
        <f aca="false">E19+1</f>
        <v>2</v>
      </c>
    </row>
    <row r="31" customFormat="false" ht="15" hidden="false" customHeight="true" outlineLevel="0" collapsed="false">
      <c r="B31" s="14" t="n">
        <v>23</v>
      </c>
      <c r="C31" s="14" t="n">
        <v>23</v>
      </c>
      <c r="D31" s="14" t="s">
        <v>107</v>
      </c>
      <c r="E31" s="18" t="b">
        <f aca="false">E29&lt;E10</f>
        <v>1</v>
      </c>
    </row>
    <row r="32" customFormat="false" ht="15" hidden="false" customHeight="true" outlineLevel="0" collapsed="false">
      <c r="B32" s="14" t="n">
        <v>24</v>
      </c>
      <c r="C32" s="14" t="n">
        <v>24</v>
      </c>
      <c r="D32" s="14" t="s">
        <v>108</v>
      </c>
      <c r="E32" s="17" t="n">
        <v>300000</v>
      </c>
      <c r="F32" s="16" t="s">
        <v>104</v>
      </c>
    </row>
    <row r="33" customFormat="false" ht="15" hidden="false" customHeight="true" outlineLevel="0" collapsed="false">
      <c r="B33" s="14" t="n">
        <v>25</v>
      </c>
      <c r="C33" s="14" t="n">
        <v>25</v>
      </c>
      <c r="D33" s="14" t="s">
        <v>109</v>
      </c>
      <c r="E33" s="18" t="b">
        <f aca="false">OR(E32=0,E32="FIN")</f>
        <v>0</v>
      </c>
    </row>
    <row r="34" customFormat="false" ht="15" hidden="false" customHeight="true" outlineLevel="0" collapsed="false">
      <c r="B34" s="14" t="n">
        <v>26</v>
      </c>
      <c r="C34" s="14" t="n">
        <v>26</v>
      </c>
      <c r="D34" s="14" t="s">
        <v>110</v>
      </c>
      <c r="E34" s="18" t="b">
        <f aca="false">IF(ISNUMBER(E32),E32&gt;0,FALSE())</f>
        <v>1</v>
      </c>
    </row>
    <row r="35" customFormat="false" ht="15" hidden="false" customHeight="true" outlineLevel="0" collapsed="false">
      <c r="B35" s="14" t="n">
        <v>27</v>
      </c>
      <c r="C35" s="14" t="n">
        <v>27</v>
      </c>
      <c r="D35" s="14" t="s">
        <v>49</v>
      </c>
      <c r="E35" s="19" t="n">
        <f aca="false">E29+E32</f>
        <v>1050000</v>
      </c>
    </row>
    <row r="36" customFormat="false" ht="15" hidden="false" customHeight="true" outlineLevel="0" collapsed="false">
      <c r="B36" s="14" t="n">
        <v>28</v>
      </c>
      <c r="C36" s="14" t="n">
        <v>28</v>
      </c>
      <c r="D36" s="14" t="s">
        <v>52</v>
      </c>
      <c r="E36" s="14" t="n">
        <f aca="false">E30+1</f>
        <v>3</v>
      </c>
    </row>
    <row r="37" customFormat="false" ht="15" hidden="false" customHeight="true" outlineLevel="0" collapsed="false">
      <c r="B37" s="14" t="n">
        <v>29</v>
      </c>
      <c r="C37" s="14" t="n">
        <v>29</v>
      </c>
      <c r="D37" s="14" t="s">
        <v>107</v>
      </c>
      <c r="E37" s="18" t="b">
        <f aca="false">E35&lt;E10</f>
        <v>0</v>
      </c>
    </row>
    <row r="38" customFormat="false" ht="15" hidden="false" customHeight="true" outlineLevel="0" collapsed="false">
      <c r="B38" s="14" t="n">
        <v>30</v>
      </c>
      <c r="C38" s="14" t="n">
        <v>30</v>
      </c>
      <c r="D38" s="14" t="s">
        <v>61</v>
      </c>
      <c r="E38" s="14" t="s">
        <v>113</v>
      </c>
    </row>
    <row r="39" customFormat="false" ht="15" hidden="false" customHeight="true" outlineLevel="0" collapsed="false">
      <c r="B39" s="14" t="n">
        <v>31</v>
      </c>
      <c r="C39" s="14" t="n">
        <v>31</v>
      </c>
      <c r="D39" s="14" t="s">
        <v>55</v>
      </c>
      <c r="E39" s="20" t="n">
        <f aca="false">IF(E36=0,0,E35/E36)</f>
        <v>350000</v>
      </c>
    </row>
    <row r="40" customFormat="false" ht="23.25" hidden="false" customHeight="true" outlineLevel="0" collapsed="false">
      <c r="B40" s="14" t="n">
        <v>32</v>
      </c>
      <c r="C40" s="14" t="n">
        <v>32</v>
      </c>
      <c r="D40" s="14" t="s">
        <v>114</v>
      </c>
      <c r="E40" s="14" t="s">
        <v>115</v>
      </c>
      <c r="F40" s="16" t="s">
        <v>116</v>
      </c>
    </row>
    <row r="41" customFormat="false" ht="15" hidden="false" customHeight="true" outlineLevel="0" collapsed="false">
      <c r="B41" s="14" t="n">
        <v>33</v>
      </c>
      <c r="C41" s="14" t="n">
        <v>33</v>
      </c>
      <c r="D41" s="14" t="s">
        <v>117</v>
      </c>
      <c r="E41" s="14" t="str">
        <f aca="false">E9</f>
        <v>C-102</v>
      </c>
      <c r="F41" s="16" t="s">
        <v>116</v>
      </c>
    </row>
    <row r="42" customFormat="false" ht="15" hidden="false" customHeight="true" outlineLevel="0" collapsed="false">
      <c r="B42" s="14" t="n">
        <v>34</v>
      </c>
      <c r="C42" s="14" t="n">
        <v>34</v>
      </c>
      <c r="D42" s="14" t="s">
        <v>118</v>
      </c>
      <c r="E42" s="19" t="n">
        <f aca="false">E10</f>
        <v>1000000</v>
      </c>
      <c r="F42" s="16" t="s">
        <v>116</v>
      </c>
    </row>
    <row r="43" customFormat="false" ht="15" hidden="false" customHeight="true" outlineLevel="0" collapsed="false">
      <c r="B43" s="14" t="n">
        <v>35</v>
      </c>
      <c r="C43" s="14" t="n">
        <v>35</v>
      </c>
      <c r="D43" s="14" t="s">
        <v>119</v>
      </c>
      <c r="E43" s="14" t="n">
        <f aca="false">E36</f>
        <v>3</v>
      </c>
      <c r="F43" s="16" t="s">
        <v>116</v>
      </c>
    </row>
    <row r="44" customFormat="false" ht="15" hidden="false" customHeight="true" outlineLevel="0" collapsed="false">
      <c r="B44" s="14" t="n">
        <v>36</v>
      </c>
      <c r="C44" s="14" t="n">
        <v>36</v>
      </c>
      <c r="D44" s="14" t="s">
        <v>120</v>
      </c>
      <c r="E44" s="19" t="n">
        <f aca="false">E35</f>
        <v>1050000</v>
      </c>
      <c r="F44" s="16" t="s">
        <v>116</v>
      </c>
    </row>
    <row r="45" customFormat="false" ht="15" hidden="false" customHeight="true" outlineLevel="0" collapsed="false">
      <c r="B45" s="14" t="n">
        <v>37</v>
      </c>
      <c r="C45" s="14" t="n">
        <v>37</v>
      </c>
      <c r="D45" s="14" t="s">
        <v>121</v>
      </c>
      <c r="E45" s="20" t="n">
        <f aca="false">E39</f>
        <v>350000</v>
      </c>
      <c r="F45" s="16" t="s">
        <v>116</v>
      </c>
    </row>
    <row r="46" customFormat="false" ht="15" hidden="false" customHeight="true" outlineLevel="0" collapsed="false">
      <c r="B46" s="14" t="n">
        <v>38</v>
      </c>
      <c r="C46" s="14" t="n">
        <v>38</v>
      </c>
      <c r="D46" s="14" t="s">
        <v>122</v>
      </c>
      <c r="E46" s="14" t="str">
        <f aca="false">E38</f>
        <v>Tope alcanzado</v>
      </c>
      <c r="F46" s="16" t="s">
        <v>116</v>
      </c>
    </row>
    <row r="49" customFormat="false" ht="15" hidden="false" customHeight="true" outlineLevel="0" collapsed="false">
      <c r="B49" s="11" t="s">
        <v>94</v>
      </c>
      <c r="C49" s="11"/>
      <c r="D49" s="11"/>
      <c r="E49" s="12" t="s">
        <v>95</v>
      </c>
    </row>
    <row r="50" customFormat="false" ht="15" hidden="false" customHeight="true" outlineLevel="0" collapsed="false">
      <c r="B50" s="11" t="s">
        <v>123</v>
      </c>
      <c r="C50" s="11"/>
      <c r="D50" s="11"/>
      <c r="E50" s="12" t="s">
        <v>124</v>
      </c>
    </row>
    <row r="52" customFormat="false" ht="15" hidden="false" customHeight="true" outlineLevel="0" collapsed="false">
      <c r="B52" s="13" t="s">
        <v>98</v>
      </c>
      <c r="C52" s="13" t="s">
        <v>99</v>
      </c>
      <c r="D52" s="13" t="s">
        <v>100</v>
      </c>
      <c r="E52" s="13" t="s">
        <v>101</v>
      </c>
    </row>
    <row r="53" customFormat="false" ht="15" hidden="false" customHeight="true" outlineLevel="0" collapsed="false">
      <c r="B53" s="14" t="n">
        <v>1</v>
      </c>
      <c r="C53" s="14" t="n">
        <v>1</v>
      </c>
      <c r="D53" s="14" t="s">
        <v>102</v>
      </c>
      <c r="E53" s="15" t="s">
        <v>125</v>
      </c>
      <c r="F53" s="16" t="s">
        <v>104</v>
      </c>
    </row>
    <row r="54" customFormat="false" ht="15" hidden="false" customHeight="true" outlineLevel="0" collapsed="false">
      <c r="B54" s="14" t="n">
        <v>2</v>
      </c>
      <c r="C54" s="14" t="n">
        <v>2</v>
      </c>
      <c r="D54" s="14" t="s">
        <v>105</v>
      </c>
      <c r="E54" s="17" t="n">
        <v>500000</v>
      </c>
      <c r="F54" s="16" t="s">
        <v>104</v>
      </c>
    </row>
    <row r="55" customFormat="false" ht="15" hidden="false" customHeight="true" outlineLevel="0" collapsed="false">
      <c r="B55" s="14" t="n">
        <v>3</v>
      </c>
      <c r="C55" s="14" t="n">
        <v>3</v>
      </c>
      <c r="D55" s="14" t="s">
        <v>106</v>
      </c>
      <c r="E55" s="18" t="b">
        <f aca="false">E54&gt;0</f>
        <v>1</v>
      </c>
    </row>
    <row r="56" customFormat="false" ht="15" hidden="false" customHeight="true" outlineLevel="0" collapsed="false">
      <c r="B56" s="14" t="n">
        <v>4</v>
      </c>
      <c r="C56" s="14" t="n">
        <v>4</v>
      </c>
      <c r="D56" s="14" t="s">
        <v>49</v>
      </c>
      <c r="E56" s="19" t="n">
        <v>0</v>
      </c>
    </row>
    <row r="57" customFormat="false" ht="15" hidden="false" customHeight="true" outlineLevel="0" collapsed="false">
      <c r="B57" s="14" t="n">
        <v>5</v>
      </c>
      <c r="C57" s="14" t="n">
        <v>5</v>
      </c>
      <c r="D57" s="14" t="s">
        <v>52</v>
      </c>
      <c r="E57" s="14" t="n">
        <v>0</v>
      </c>
    </row>
    <row r="58" customFormat="false" ht="15" hidden="false" customHeight="true" outlineLevel="0" collapsed="false">
      <c r="B58" s="14" t="n">
        <v>6</v>
      </c>
      <c r="C58" s="14" t="n">
        <v>6</v>
      </c>
      <c r="D58" s="14" t="s">
        <v>107</v>
      </c>
      <c r="E58" s="18" t="b">
        <f aca="false">E56&lt;E54</f>
        <v>1</v>
      </c>
    </row>
    <row r="59" customFormat="false" ht="15" hidden="false" customHeight="true" outlineLevel="0" collapsed="false">
      <c r="B59" s="14" t="n">
        <v>7</v>
      </c>
      <c r="C59" s="14" t="n">
        <v>7</v>
      </c>
      <c r="D59" s="14" t="s">
        <v>108</v>
      </c>
      <c r="E59" s="17" t="n">
        <v>200000</v>
      </c>
      <c r="F59" s="16" t="s">
        <v>104</v>
      </c>
    </row>
    <row r="60" customFormat="false" ht="15" hidden="false" customHeight="true" outlineLevel="0" collapsed="false">
      <c r="B60" s="14" t="n">
        <v>8</v>
      </c>
      <c r="C60" s="14" t="n">
        <v>8</v>
      </c>
      <c r="D60" s="14" t="s">
        <v>109</v>
      </c>
      <c r="E60" s="18" t="b">
        <f aca="false">OR(E59=0,E59="FIN")</f>
        <v>0</v>
      </c>
    </row>
    <row r="61" customFormat="false" ht="15" hidden="false" customHeight="true" outlineLevel="0" collapsed="false">
      <c r="B61" s="14" t="n">
        <v>9</v>
      </c>
      <c r="C61" s="14" t="n">
        <v>9</v>
      </c>
      <c r="D61" s="14" t="s">
        <v>110</v>
      </c>
      <c r="E61" s="18" t="b">
        <f aca="false">IF(ISNUMBER(E59),E59&gt;0,FALSE())</f>
        <v>1</v>
      </c>
    </row>
    <row r="62" customFormat="false" ht="15" hidden="false" customHeight="true" outlineLevel="0" collapsed="false">
      <c r="B62" s="14" t="n">
        <v>10</v>
      </c>
      <c r="C62" s="14" t="n">
        <v>10</v>
      </c>
      <c r="D62" s="14" t="s">
        <v>49</v>
      </c>
      <c r="E62" s="19" t="n">
        <f aca="false">E56+E59</f>
        <v>200000</v>
      </c>
    </row>
    <row r="63" customFormat="false" ht="15" hidden="false" customHeight="true" outlineLevel="0" collapsed="false">
      <c r="B63" s="14" t="n">
        <v>11</v>
      </c>
      <c r="C63" s="14" t="n">
        <v>11</v>
      </c>
      <c r="D63" s="14" t="s">
        <v>52</v>
      </c>
      <c r="E63" s="14" t="n">
        <f aca="false">E57+1</f>
        <v>1</v>
      </c>
    </row>
    <row r="64" customFormat="false" ht="15" hidden="false" customHeight="true" outlineLevel="0" collapsed="false">
      <c r="B64" s="14" t="n">
        <v>12</v>
      </c>
      <c r="C64" s="14" t="n">
        <v>12</v>
      </c>
      <c r="D64" s="14" t="s">
        <v>107</v>
      </c>
      <c r="E64" s="18" t="b">
        <f aca="false">E62&lt;E54</f>
        <v>1</v>
      </c>
    </row>
    <row r="65" customFormat="false" ht="15" hidden="false" customHeight="true" outlineLevel="0" collapsed="false">
      <c r="B65" s="14" t="n">
        <v>13</v>
      </c>
      <c r="C65" s="14" t="n">
        <v>13</v>
      </c>
      <c r="D65" s="14" t="s">
        <v>108</v>
      </c>
      <c r="E65" s="17" t="s">
        <v>126</v>
      </c>
      <c r="F65" s="16" t="s">
        <v>104</v>
      </c>
    </row>
    <row r="66" customFormat="false" ht="15" hidden="false" customHeight="true" outlineLevel="0" collapsed="false">
      <c r="B66" s="14" t="n">
        <v>14</v>
      </c>
      <c r="C66" s="14" t="n">
        <v>14</v>
      </c>
      <c r="D66" s="14" t="s">
        <v>109</v>
      </c>
      <c r="E66" s="18" t="b">
        <f aca="false">OR(E65=0,E65="FIN")</f>
        <v>0</v>
      </c>
    </row>
    <row r="67" customFormat="false" ht="15" hidden="false" customHeight="true" outlineLevel="0" collapsed="false">
      <c r="B67" s="14" t="n">
        <v>15</v>
      </c>
      <c r="C67" s="14" t="n">
        <v>15</v>
      </c>
      <c r="D67" s="14" t="s">
        <v>110</v>
      </c>
      <c r="E67" s="18" t="b">
        <f aca="false">IF(ISNUMBER(E65),E65&gt;0,FALSE())</f>
        <v>0</v>
      </c>
    </row>
    <row r="68" customFormat="false" ht="15" hidden="false" customHeight="true" outlineLevel="0" collapsed="false">
      <c r="B68" s="14" t="n">
        <v>16</v>
      </c>
      <c r="C68" s="14" t="n">
        <v>16</v>
      </c>
      <c r="D68" s="14" t="s">
        <v>111</v>
      </c>
      <c r="E68" s="14" t="s">
        <v>112</v>
      </c>
    </row>
    <row r="69" customFormat="false" ht="15" hidden="false" customHeight="true" outlineLevel="0" collapsed="false">
      <c r="B69" s="14" t="n">
        <v>17</v>
      </c>
      <c r="C69" s="14" t="n">
        <v>17</v>
      </c>
      <c r="D69" s="14" t="s">
        <v>107</v>
      </c>
      <c r="E69" s="18" t="b">
        <f aca="false">E62&lt;E54</f>
        <v>1</v>
      </c>
    </row>
    <row r="70" customFormat="false" ht="15" hidden="false" customHeight="true" outlineLevel="0" collapsed="false">
      <c r="B70" s="14" t="n">
        <v>18</v>
      </c>
      <c r="C70" s="14" t="n">
        <v>18</v>
      </c>
      <c r="D70" s="14" t="s">
        <v>108</v>
      </c>
      <c r="E70" s="17" t="n">
        <v>150000</v>
      </c>
      <c r="F70" s="16" t="s">
        <v>104</v>
      </c>
    </row>
    <row r="71" customFormat="false" ht="15" hidden="false" customHeight="true" outlineLevel="0" collapsed="false">
      <c r="B71" s="14" t="n">
        <v>19</v>
      </c>
      <c r="C71" s="14" t="n">
        <v>19</v>
      </c>
      <c r="D71" s="14" t="s">
        <v>109</v>
      </c>
      <c r="E71" s="18" t="b">
        <f aca="false">OR(E70=0,E70="FIN")</f>
        <v>0</v>
      </c>
    </row>
    <row r="72" customFormat="false" ht="15" hidden="false" customHeight="true" outlineLevel="0" collapsed="false">
      <c r="B72" s="14" t="n">
        <v>20</v>
      </c>
      <c r="C72" s="14" t="n">
        <v>20</v>
      </c>
      <c r="D72" s="14" t="s">
        <v>110</v>
      </c>
      <c r="E72" s="18" t="b">
        <f aca="false">IF(ISNUMBER(E70),E70&gt;0,FALSE())</f>
        <v>1</v>
      </c>
    </row>
    <row r="73" customFormat="false" ht="15" hidden="false" customHeight="true" outlineLevel="0" collapsed="false">
      <c r="B73" s="14" t="n">
        <v>21</v>
      </c>
      <c r="C73" s="14" t="n">
        <v>21</v>
      </c>
      <c r="D73" s="14" t="s">
        <v>49</v>
      </c>
      <c r="E73" s="19" t="n">
        <f aca="false">E62+E70</f>
        <v>350000</v>
      </c>
    </row>
    <row r="74" customFormat="false" ht="15" hidden="false" customHeight="true" outlineLevel="0" collapsed="false">
      <c r="B74" s="14" t="n">
        <v>22</v>
      </c>
      <c r="C74" s="14" t="n">
        <v>22</v>
      </c>
      <c r="D74" s="14" t="s">
        <v>52</v>
      </c>
      <c r="E74" s="14" t="n">
        <f aca="false">E63+1</f>
        <v>2</v>
      </c>
    </row>
    <row r="75" customFormat="false" ht="15" hidden="false" customHeight="true" outlineLevel="0" collapsed="false">
      <c r="B75" s="14" t="n">
        <v>23</v>
      </c>
      <c r="C75" s="14" t="n">
        <v>23</v>
      </c>
      <c r="D75" s="14" t="s">
        <v>107</v>
      </c>
      <c r="E75" s="18" t="b">
        <f aca="false">E73&lt;E54</f>
        <v>1</v>
      </c>
    </row>
    <row r="76" customFormat="false" ht="15" hidden="false" customHeight="true" outlineLevel="0" collapsed="false">
      <c r="B76" s="14" t="n">
        <v>24</v>
      </c>
      <c r="C76" s="14" t="n">
        <v>24</v>
      </c>
      <c r="D76" s="14" t="s">
        <v>108</v>
      </c>
      <c r="E76" s="17" t="s">
        <v>127</v>
      </c>
      <c r="F76" s="16" t="s">
        <v>104</v>
      </c>
    </row>
    <row r="77" customFormat="false" ht="15" hidden="false" customHeight="true" outlineLevel="0" collapsed="false">
      <c r="B77" s="14" t="n">
        <v>25</v>
      </c>
      <c r="C77" s="14" t="n">
        <v>25</v>
      </c>
      <c r="D77" s="14" t="s">
        <v>109</v>
      </c>
      <c r="E77" s="18" t="b">
        <f aca="false">OR(E76=0,E76="FIN")</f>
        <v>1</v>
      </c>
    </row>
    <row r="78" customFormat="false" ht="15" hidden="false" customHeight="true" outlineLevel="0" collapsed="false">
      <c r="B78" s="14" t="n">
        <v>26</v>
      </c>
      <c r="C78" s="14" t="n">
        <v>26</v>
      </c>
      <c r="D78" s="14" t="s">
        <v>61</v>
      </c>
      <c r="E78" s="14" t="s">
        <v>42</v>
      </c>
    </row>
    <row r="79" customFormat="false" ht="15" hidden="false" customHeight="true" outlineLevel="0" collapsed="false">
      <c r="B79" s="14" t="n">
        <v>27</v>
      </c>
      <c r="C79" s="14" t="n">
        <v>27</v>
      </c>
      <c r="D79" s="14" t="s">
        <v>55</v>
      </c>
      <c r="E79" s="20" t="n">
        <f aca="false">IF(E74=0,0,E73/E74)</f>
        <v>175000</v>
      </c>
    </row>
    <row r="80" customFormat="false" ht="15" hidden="false" customHeight="true" outlineLevel="0" collapsed="false">
      <c r="B80" s="14" t="n">
        <v>28</v>
      </c>
      <c r="C80" s="14" t="n">
        <v>28</v>
      </c>
      <c r="D80" s="14" t="s">
        <v>117</v>
      </c>
      <c r="E80" s="14" t="str">
        <f aca="false">E53</f>
        <v>C-205</v>
      </c>
      <c r="F80" s="16" t="s">
        <v>116</v>
      </c>
    </row>
    <row r="81" customFormat="false" ht="15" hidden="false" customHeight="true" outlineLevel="0" collapsed="false">
      <c r="B81" s="14" t="n">
        <v>29</v>
      </c>
      <c r="C81" s="14" t="n">
        <v>29</v>
      </c>
      <c r="D81" s="14" t="s">
        <v>118</v>
      </c>
      <c r="E81" s="19" t="n">
        <f aca="false">E54</f>
        <v>500000</v>
      </c>
      <c r="F81" s="16" t="s">
        <v>116</v>
      </c>
    </row>
    <row r="82" customFormat="false" ht="15" hidden="false" customHeight="true" outlineLevel="0" collapsed="false">
      <c r="B82" s="14" t="n">
        <v>30</v>
      </c>
      <c r="C82" s="14" t="n">
        <v>30</v>
      </c>
      <c r="D82" s="14" t="s">
        <v>119</v>
      </c>
      <c r="E82" s="14" t="n">
        <f aca="false">E74</f>
        <v>2</v>
      </c>
      <c r="F82" s="16" t="s">
        <v>116</v>
      </c>
    </row>
    <row r="83" customFormat="false" ht="15" hidden="false" customHeight="true" outlineLevel="0" collapsed="false">
      <c r="B83" s="14" t="n">
        <v>31</v>
      </c>
      <c r="C83" s="14" t="n">
        <v>31</v>
      </c>
      <c r="D83" s="14" t="s">
        <v>120</v>
      </c>
      <c r="E83" s="19" t="n">
        <f aca="false">E73</f>
        <v>350000</v>
      </c>
      <c r="F83" s="16" t="s">
        <v>116</v>
      </c>
    </row>
    <row r="84" customFormat="false" ht="15" hidden="false" customHeight="true" outlineLevel="0" collapsed="false">
      <c r="B84" s="14" t="n">
        <v>32</v>
      </c>
      <c r="C84" s="14" t="n">
        <v>32</v>
      </c>
      <c r="D84" s="14" t="s">
        <v>121</v>
      </c>
      <c r="E84" s="20" t="n">
        <f aca="false">E79</f>
        <v>175000</v>
      </c>
      <c r="F84" s="16" t="s">
        <v>116</v>
      </c>
    </row>
    <row r="85" customFormat="false" ht="15" hidden="false" customHeight="true" outlineLevel="0" collapsed="false">
      <c r="B85" s="14" t="n">
        <v>33</v>
      </c>
      <c r="C85" s="14" t="n">
        <v>33</v>
      </c>
      <c r="D85" s="14" t="s">
        <v>122</v>
      </c>
      <c r="E85" s="14" t="str">
        <f aca="false">E78</f>
        <v>Fin de cola</v>
      </c>
      <c r="F85" s="16" t="s">
        <v>116</v>
      </c>
    </row>
    <row r="88" customFormat="false" ht="15" hidden="false" customHeight="true" outlineLevel="0" collapsed="false">
      <c r="B88" s="11" t="s">
        <v>94</v>
      </c>
      <c r="C88" s="11"/>
      <c r="D88" s="11"/>
      <c r="E88" s="12" t="s">
        <v>95</v>
      </c>
    </row>
    <row r="89" customFormat="false" ht="15" hidden="false" customHeight="true" outlineLevel="0" collapsed="false">
      <c r="B89" s="11" t="s">
        <v>128</v>
      </c>
      <c r="C89" s="11"/>
      <c r="D89" s="11"/>
      <c r="E89" s="12" t="s">
        <v>129</v>
      </c>
    </row>
    <row r="91" customFormat="false" ht="15" hidden="false" customHeight="true" outlineLevel="0" collapsed="false">
      <c r="B91" s="13" t="s">
        <v>98</v>
      </c>
      <c r="C91" s="13" t="s">
        <v>99</v>
      </c>
      <c r="D91" s="13" t="s">
        <v>100</v>
      </c>
      <c r="E91" s="13" t="s">
        <v>101</v>
      </c>
    </row>
    <row r="92" customFormat="false" ht="15" hidden="false" customHeight="true" outlineLevel="0" collapsed="false">
      <c r="B92" s="14" t="n">
        <v>1</v>
      </c>
      <c r="C92" s="14" t="n">
        <v>1</v>
      </c>
      <c r="D92" s="14" t="s">
        <v>102</v>
      </c>
      <c r="E92" s="15" t="s">
        <v>130</v>
      </c>
      <c r="F92" s="16" t="s">
        <v>104</v>
      </c>
    </row>
    <row r="93" customFormat="false" ht="15" hidden="false" customHeight="true" outlineLevel="0" collapsed="false">
      <c r="B93" s="14" t="n">
        <v>2</v>
      </c>
      <c r="C93" s="14" t="n">
        <v>2</v>
      </c>
      <c r="D93" s="14" t="s">
        <v>105</v>
      </c>
      <c r="E93" s="17" t="n">
        <v>800000</v>
      </c>
      <c r="F93" s="16" t="s">
        <v>104</v>
      </c>
    </row>
    <row r="94" customFormat="false" ht="15" hidden="false" customHeight="true" outlineLevel="0" collapsed="false">
      <c r="B94" s="14" t="n">
        <v>3</v>
      </c>
      <c r="C94" s="14" t="n">
        <v>3</v>
      </c>
      <c r="D94" s="14" t="s">
        <v>106</v>
      </c>
      <c r="E94" s="18" t="b">
        <f aca="false">E93&gt;0</f>
        <v>1</v>
      </c>
    </row>
    <row r="95" customFormat="false" ht="15" hidden="false" customHeight="true" outlineLevel="0" collapsed="false">
      <c r="B95" s="14" t="n">
        <v>4</v>
      </c>
      <c r="C95" s="14" t="n">
        <v>4</v>
      </c>
      <c r="D95" s="14" t="s">
        <v>49</v>
      </c>
      <c r="E95" s="19" t="n">
        <v>0</v>
      </c>
    </row>
    <row r="96" customFormat="false" ht="15" hidden="false" customHeight="true" outlineLevel="0" collapsed="false">
      <c r="B96" s="14" t="n">
        <v>5</v>
      </c>
      <c r="C96" s="14" t="n">
        <v>5</v>
      </c>
      <c r="D96" s="14" t="s">
        <v>52</v>
      </c>
      <c r="E96" s="14" t="n">
        <v>0</v>
      </c>
    </row>
    <row r="97" customFormat="false" ht="15" hidden="false" customHeight="true" outlineLevel="0" collapsed="false">
      <c r="B97" s="14" t="n">
        <v>6</v>
      </c>
      <c r="C97" s="14" t="n">
        <v>6</v>
      </c>
      <c r="D97" s="14" t="s">
        <v>107</v>
      </c>
      <c r="E97" s="18" t="b">
        <f aca="false">E95&lt;E93</f>
        <v>1</v>
      </c>
    </row>
    <row r="98" customFormat="false" ht="15" hidden="false" customHeight="true" outlineLevel="0" collapsed="false">
      <c r="B98" s="14" t="n">
        <v>7</v>
      </c>
      <c r="C98" s="14" t="n">
        <v>7</v>
      </c>
      <c r="D98" s="14" t="s">
        <v>108</v>
      </c>
      <c r="E98" s="17" t="s">
        <v>127</v>
      </c>
      <c r="F98" s="16" t="s">
        <v>104</v>
      </c>
    </row>
    <row r="99" customFormat="false" ht="15" hidden="false" customHeight="true" outlineLevel="0" collapsed="false">
      <c r="B99" s="14" t="n">
        <v>8</v>
      </c>
      <c r="C99" s="14" t="n">
        <v>8</v>
      </c>
      <c r="D99" s="14" t="s">
        <v>109</v>
      </c>
      <c r="E99" s="18" t="b">
        <f aca="false">OR(E98=0,E98="FIN")</f>
        <v>1</v>
      </c>
    </row>
    <row r="100" customFormat="false" ht="15" hidden="false" customHeight="true" outlineLevel="0" collapsed="false">
      <c r="B100" s="14" t="n">
        <v>9</v>
      </c>
      <c r="C100" s="14" t="n">
        <v>9</v>
      </c>
      <c r="D100" s="14" t="s">
        <v>61</v>
      </c>
      <c r="E100" s="14" t="s">
        <v>42</v>
      </c>
    </row>
    <row r="101" customFormat="false" ht="15" hidden="false" customHeight="true" outlineLevel="0" collapsed="false">
      <c r="B101" s="14" t="n">
        <v>10</v>
      </c>
      <c r="C101" s="14" t="n">
        <v>10</v>
      </c>
      <c r="D101" s="14" t="s">
        <v>55</v>
      </c>
      <c r="E101" s="20" t="n">
        <f aca="false">IF(E96=0,0,E95/E96)</f>
        <v>0</v>
      </c>
    </row>
    <row r="102" customFormat="false" ht="15" hidden="false" customHeight="true" outlineLevel="0" collapsed="false">
      <c r="B102" s="14" t="n">
        <v>11</v>
      </c>
      <c r="C102" s="14" t="n">
        <v>11</v>
      </c>
      <c r="D102" s="14" t="s">
        <v>117</v>
      </c>
      <c r="E102" s="14" t="str">
        <f aca="false">E92</f>
        <v>C-310</v>
      </c>
      <c r="F102" s="16" t="s">
        <v>116</v>
      </c>
    </row>
    <row r="103" customFormat="false" ht="15" hidden="false" customHeight="true" outlineLevel="0" collapsed="false">
      <c r="B103" s="14" t="n">
        <v>12</v>
      </c>
      <c r="C103" s="14" t="n">
        <v>12</v>
      </c>
      <c r="D103" s="14" t="s">
        <v>118</v>
      </c>
      <c r="E103" s="19" t="n">
        <f aca="false">E93</f>
        <v>800000</v>
      </c>
      <c r="F103" s="16" t="s">
        <v>116</v>
      </c>
    </row>
    <row r="104" customFormat="false" ht="15" hidden="false" customHeight="true" outlineLevel="0" collapsed="false">
      <c r="B104" s="14" t="n">
        <v>13</v>
      </c>
      <c r="C104" s="14" t="n">
        <v>13</v>
      </c>
      <c r="D104" s="14" t="s">
        <v>119</v>
      </c>
      <c r="E104" s="14" t="n">
        <f aca="false">E96</f>
        <v>0</v>
      </c>
      <c r="F104" s="16" t="s">
        <v>116</v>
      </c>
    </row>
    <row r="105" customFormat="false" ht="15" hidden="false" customHeight="true" outlineLevel="0" collapsed="false">
      <c r="B105" s="14" t="n">
        <v>14</v>
      </c>
      <c r="C105" s="14" t="n">
        <v>14</v>
      </c>
      <c r="D105" s="14" t="s">
        <v>120</v>
      </c>
      <c r="E105" s="19" t="n">
        <f aca="false">E95</f>
        <v>0</v>
      </c>
      <c r="F105" s="16" t="s">
        <v>116</v>
      </c>
    </row>
    <row r="106" customFormat="false" ht="15" hidden="false" customHeight="true" outlineLevel="0" collapsed="false">
      <c r="B106" s="14" t="n">
        <v>15</v>
      </c>
      <c r="C106" s="14" t="n">
        <v>15</v>
      </c>
      <c r="D106" s="14" t="s">
        <v>121</v>
      </c>
      <c r="E106" s="20" t="n">
        <f aca="false">E101</f>
        <v>0</v>
      </c>
      <c r="F106" s="16" t="s">
        <v>116</v>
      </c>
    </row>
    <row r="107" customFormat="false" ht="15" hidden="false" customHeight="true" outlineLevel="0" collapsed="false">
      <c r="B107" s="14" t="n">
        <v>16</v>
      </c>
      <c r="C107" s="14" t="n">
        <v>16</v>
      </c>
      <c r="D107" s="14" t="s">
        <v>122</v>
      </c>
      <c r="E107" s="14" t="str">
        <f aca="false">E100</f>
        <v>Fin de cola</v>
      </c>
      <c r="F107" s="16" t="s">
        <v>116</v>
      </c>
    </row>
    <row r="110" customFormat="false" ht="15" hidden="false" customHeight="true" outlineLevel="0" collapsed="false">
      <c r="B110" s="11" t="s">
        <v>94</v>
      </c>
      <c r="C110" s="11"/>
      <c r="D110" s="11"/>
      <c r="E110" s="12" t="s">
        <v>95</v>
      </c>
    </row>
    <row r="111" customFormat="false" ht="15" hidden="false" customHeight="true" outlineLevel="0" collapsed="false">
      <c r="B111" s="11" t="s">
        <v>131</v>
      </c>
      <c r="C111" s="11"/>
      <c r="D111" s="11"/>
      <c r="E111" s="12" t="s">
        <v>132</v>
      </c>
    </row>
    <row r="113" customFormat="false" ht="15" hidden="false" customHeight="true" outlineLevel="0" collapsed="false">
      <c r="B113" s="13" t="s">
        <v>98</v>
      </c>
      <c r="C113" s="13" t="s">
        <v>99</v>
      </c>
      <c r="D113" s="13" t="s">
        <v>100</v>
      </c>
      <c r="E113" s="13" t="s">
        <v>101</v>
      </c>
    </row>
    <row r="114" customFormat="false" ht="15" hidden="false" customHeight="true" outlineLevel="0" collapsed="false">
      <c r="B114" s="14" t="n">
        <v>1</v>
      </c>
      <c r="C114" s="14" t="n">
        <v>1</v>
      </c>
      <c r="D114" s="14" t="s">
        <v>102</v>
      </c>
      <c r="E114" s="15" t="s">
        <v>133</v>
      </c>
      <c r="F114" s="16" t="s">
        <v>104</v>
      </c>
    </row>
    <row r="115" customFormat="false" ht="15" hidden="false" customHeight="true" outlineLevel="0" collapsed="false">
      <c r="B115" s="14" t="n">
        <v>2</v>
      </c>
      <c r="C115" s="14" t="n">
        <v>2</v>
      </c>
      <c r="D115" s="14" t="s">
        <v>105</v>
      </c>
      <c r="E115" s="17" t="n">
        <v>600000</v>
      </c>
      <c r="F115" s="16" t="s">
        <v>104</v>
      </c>
    </row>
    <row r="116" customFormat="false" ht="15" hidden="false" customHeight="true" outlineLevel="0" collapsed="false">
      <c r="B116" s="14" t="n">
        <v>3</v>
      </c>
      <c r="C116" s="14" t="n">
        <v>3</v>
      </c>
      <c r="D116" s="14" t="s">
        <v>106</v>
      </c>
      <c r="E116" s="18" t="b">
        <f aca="false">E115&gt;0</f>
        <v>1</v>
      </c>
    </row>
    <row r="117" customFormat="false" ht="15" hidden="false" customHeight="true" outlineLevel="0" collapsed="false">
      <c r="B117" s="14" t="n">
        <v>4</v>
      </c>
      <c r="C117" s="14" t="n">
        <v>4</v>
      </c>
      <c r="D117" s="14" t="s">
        <v>49</v>
      </c>
      <c r="E117" s="19" t="n">
        <v>0</v>
      </c>
    </row>
    <row r="118" customFormat="false" ht="15" hidden="false" customHeight="true" outlineLevel="0" collapsed="false">
      <c r="B118" s="14" t="n">
        <v>5</v>
      </c>
      <c r="C118" s="14" t="n">
        <v>5</v>
      </c>
      <c r="D118" s="14" t="s">
        <v>52</v>
      </c>
      <c r="E118" s="14" t="n">
        <v>0</v>
      </c>
    </row>
    <row r="119" customFormat="false" ht="15" hidden="false" customHeight="true" outlineLevel="0" collapsed="false">
      <c r="B119" s="14" t="n">
        <v>6</v>
      </c>
      <c r="C119" s="14" t="n">
        <v>6</v>
      </c>
      <c r="D119" s="14" t="s">
        <v>107</v>
      </c>
      <c r="E119" s="18" t="b">
        <f aca="false">E117&lt;E115</f>
        <v>1</v>
      </c>
    </row>
    <row r="120" customFormat="false" ht="15" hidden="false" customHeight="true" outlineLevel="0" collapsed="false">
      <c r="B120" s="14" t="n">
        <v>7</v>
      </c>
      <c r="C120" s="14" t="n">
        <v>7</v>
      </c>
      <c r="D120" s="14" t="s">
        <v>108</v>
      </c>
      <c r="E120" s="17" t="n">
        <v>250000</v>
      </c>
      <c r="F120" s="16" t="s">
        <v>104</v>
      </c>
    </row>
    <row r="121" customFormat="false" ht="15" hidden="false" customHeight="true" outlineLevel="0" collapsed="false">
      <c r="B121" s="14" t="n">
        <v>8</v>
      </c>
      <c r="C121" s="14" t="n">
        <v>8</v>
      </c>
      <c r="D121" s="14" t="s">
        <v>109</v>
      </c>
      <c r="E121" s="18" t="b">
        <f aca="false">OR(E120=0,E120="FIN")</f>
        <v>0</v>
      </c>
    </row>
    <row r="122" customFormat="false" ht="15" hidden="false" customHeight="true" outlineLevel="0" collapsed="false">
      <c r="B122" s="14" t="n">
        <v>9</v>
      </c>
      <c r="C122" s="14" t="n">
        <v>9</v>
      </c>
      <c r="D122" s="14" t="s">
        <v>110</v>
      </c>
      <c r="E122" s="18" t="b">
        <f aca="false">IF(ISNUMBER(E120),E120&gt;0,FALSE())</f>
        <v>1</v>
      </c>
    </row>
    <row r="123" customFormat="false" ht="15" hidden="false" customHeight="true" outlineLevel="0" collapsed="false">
      <c r="B123" s="14" t="n">
        <v>10</v>
      </c>
      <c r="C123" s="14" t="n">
        <v>10</v>
      </c>
      <c r="D123" s="14" t="s">
        <v>49</v>
      </c>
      <c r="E123" s="19" t="n">
        <f aca="false">E117+E120</f>
        <v>250000</v>
      </c>
    </row>
    <row r="124" customFormat="false" ht="15" hidden="false" customHeight="true" outlineLevel="0" collapsed="false">
      <c r="B124" s="14" t="n">
        <v>11</v>
      </c>
      <c r="C124" s="14" t="n">
        <v>11</v>
      </c>
      <c r="D124" s="14" t="s">
        <v>52</v>
      </c>
      <c r="E124" s="14" t="n">
        <f aca="false">E118+1</f>
        <v>1</v>
      </c>
    </row>
    <row r="125" customFormat="false" ht="15" hidden="false" customHeight="true" outlineLevel="0" collapsed="false">
      <c r="B125" s="14" t="n">
        <v>12</v>
      </c>
      <c r="C125" s="14" t="n">
        <v>12</v>
      </c>
      <c r="D125" s="14" t="s">
        <v>107</v>
      </c>
      <c r="E125" s="18" t="b">
        <f aca="false">E123&lt;E115</f>
        <v>1</v>
      </c>
    </row>
    <row r="126" customFormat="false" ht="15" hidden="false" customHeight="true" outlineLevel="0" collapsed="false">
      <c r="B126" s="14" t="n">
        <v>13</v>
      </c>
      <c r="C126" s="14" t="n">
        <v>13</v>
      </c>
      <c r="D126" s="14" t="s">
        <v>108</v>
      </c>
      <c r="E126" s="17" t="n">
        <v>-5</v>
      </c>
      <c r="F126" s="16" t="s">
        <v>104</v>
      </c>
    </row>
    <row r="127" customFormat="false" ht="15" hidden="false" customHeight="true" outlineLevel="0" collapsed="false">
      <c r="B127" s="14" t="n">
        <v>14</v>
      </c>
      <c r="C127" s="14" t="n">
        <v>14</v>
      </c>
      <c r="D127" s="14" t="s">
        <v>109</v>
      </c>
      <c r="E127" s="18" t="b">
        <f aca="false">OR(E126=0,E126="FIN")</f>
        <v>0</v>
      </c>
    </row>
    <row r="128" customFormat="false" ht="15" hidden="false" customHeight="true" outlineLevel="0" collapsed="false">
      <c r="B128" s="14" t="n">
        <v>15</v>
      </c>
      <c r="C128" s="14" t="n">
        <v>15</v>
      </c>
      <c r="D128" s="14" t="s">
        <v>110</v>
      </c>
      <c r="E128" s="18" t="b">
        <f aca="false">IF(ISNUMBER(E126),E126&gt;0,FALSE())</f>
        <v>0</v>
      </c>
    </row>
    <row r="129" customFormat="false" ht="15" hidden="false" customHeight="true" outlineLevel="0" collapsed="false">
      <c r="B129" s="14" t="n">
        <v>16</v>
      </c>
      <c r="C129" s="14" t="n">
        <v>16</v>
      </c>
      <c r="D129" s="14" t="s">
        <v>111</v>
      </c>
      <c r="E129" s="14" t="s">
        <v>112</v>
      </c>
    </row>
    <row r="130" customFormat="false" ht="15" hidden="false" customHeight="true" outlineLevel="0" collapsed="false">
      <c r="B130" s="14" t="n">
        <v>17</v>
      </c>
      <c r="C130" s="14" t="n">
        <v>17</v>
      </c>
      <c r="D130" s="14" t="s">
        <v>107</v>
      </c>
      <c r="E130" s="18" t="b">
        <f aca="false">E123&lt;E115</f>
        <v>1</v>
      </c>
    </row>
    <row r="131" customFormat="false" ht="15" hidden="false" customHeight="true" outlineLevel="0" collapsed="false">
      <c r="B131" s="14" t="n">
        <v>18</v>
      </c>
      <c r="C131" s="14" t="n">
        <v>18</v>
      </c>
      <c r="D131" s="14" t="s">
        <v>108</v>
      </c>
      <c r="E131" s="17" t="n">
        <v>350000</v>
      </c>
      <c r="F131" s="16" t="s">
        <v>104</v>
      </c>
    </row>
    <row r="132" customFormat="false" ht="15" hidden="false" customHeight="true" outlineLevel="0" collapsed="false">
      <c r="B132" s="14" t="n">
        <v>19</v>
      </c>
      <c r="C132" s="14" t="n">
        <v>19</v>
      </c>
      <c r="D132" s="14" t="s">
        <v>109</v>
      </c>
      <c r="E132" s="18" t="b">
        <f aca="false">OR(E131=0,E131="FIN")</f>
        <v>0</v>
      </c>
    </row>
    <row r="133" customFormat="false" ht="15" hidden="false" customHeight="true" outlineLevel="0" collapsed="false">
      <c r="B133" s="14" t="n">
        <v>20</v>
      </c>
      <c r="C133" s="14" t="n">
        <v>20</v>
      </c>
      <c r="D133" s="14" t="s">
        <v>110</v>
      </c>
      <c r="E133" s="18" t="b">
        <f aca="false">IF(ISNUMBER(E131),E131&gt;0,FALSE())</f>
        <v>1</v>
      </c>
    </row>
    <row r="134" customFormat="false" ht="15" hidden="false" customHeight="true" outlineLevel="0" collapsed="false">
      <c r="B134" s="14" t="n">
        <v>21</v>
      </c>
      <c r="C134" s="14" t="n">
        <v>21</v>
      </c>
      <c r="D134" s="14" t="s">
        <v>49</v>
      </c>
      <c r="E134" s="19" t="n">
        <f aca="false">E123+E131</f>
        <v>600000</v>
      </c>
    </row>
    <row r="135" customFormat="false" ht="15" hidden="false" customHeight="true" outlineLevel="0" collapsed="false">
      <c r="B135" s="14" t="n">
        <v>22</v>
      </c>
      <c r="C135" s="14" t="n">
        <v>22</v>
      </c>
      <c r="D135" s="14" t="s">
        <v>52</v>
      </c>
      <c r="E135" s="14" t="n">
        <f aca="false">E124+1</f>
        <v>2</v>
      </c>
    </row>
    <row r="136" customFormat="false" ht="15" hidden="false" customHeight="true" outlineLevel="0" collapsed="false">
      <c r="B136" s="14" t="n">
        <v>23</v>
      </c>
      <c r="C136" s="14" t="n">
        <v>23</v>
      </c>
      <c r="D136" s="14" t="s">
        <v>107</v>
      </c>
      <c r="E136" s="18" t="b">
        <f aca="false">E134&lt;E115</f>
        <v>0</v>
      </c>
    </row>
    <row r="137" customFormat="false" ht="15" hidden="false" customHeight="true" outlineLevel="0" collapsed="false">
      <c r="B137" s="14" t="n">
        <v>24</v>
      </c>
      <c r="C137" s="14" t="n">
        <v>24</v>
      </c>
      <c r="D137" s="14" t="s">
        <v>61</v>
      </c>
      <c r="E137" s="14" t="s">
        <v>113</v>
      </c>
    </row>
    <row r="138" customFormat="false" ht="15" hidden="false" customHeight="true" outlineLevel="0" collapsed="false">
      <c r="B138" s="14" t="n">
        <v>25</v>
      </c>
      <c r="C138" s="14" t="n">
        <v>25</v>
      </c>
      <c r="D138" s="14" t="s">
        <v>55</v>
      </c>
      <c r="E138" s="20" t="n">
        <f aca="false">IF(E135=0,0,E134/E135)</f>
        <v>300000</v>
      </c>
    </row>
    <row r="139" customFormat="false" ht="23.25" hidden="false" customHeight="true" outlineLevel="0" collapsed="false">
      <c r="B139" s="14" t="n">
        <v>26</v>
      </c>
      <c r="C139" s="14" t="n">
        <v>26</v>
      </c>
      <c r="D139" s="14" t="s">
        <v>114</v>
      </c>
      <c r="E139" s="14" t="s">
        <v>115</v>
      </c>
      <c r="F139" s="16" t="s">
        <v>116</v>
      </c>
    </row>
    <row r="140" customFormat="false" ht="15" hidden="false" customHeight="true" outlineLevel="0" collapsed="false">
      <c r="B140" s="14" t="n">
        <v>27</v>
      </c>
      <c r="C140" s="14" t="n">
        <v>27</v>
      </c>
      <c r="D140" s="14" t="s">
        <v>117</v>
      </c>
      <c r="E140" s="14" t="str">
        <f aca="false">E114</f>
        <v>C-118</v>
      </c>
      <c r="F140" s="16" t="s">
        <v>116</v>
      </c>
    </row>
    <row r="141" customFormat="false" ht="15" hidden="false" customHeight="true" outlineLevel="0" collapsed="false">
      <c r="B141" s="14" t="n">
        <v>28</v>
      </c>
      <c r="C141" s="14" t="n">
        <v>28</v>
      </c>
      <c r="D141" s="14" t="s">
        <v>118</v>
      </c>
      <c r="E141" s="19" t="n">
        <f aca="false">E115</f>
        <v>600000</v>
      </c>
      <c r="F141" s="16" t="s">
        <v>116</v>
      </c>
    </row>
    <row r="142" customFormat="false" ht="15" hidden="false" customHeight="true" outlineLevel="0" collapsed="false">
      <c r="B142" s="14" t="n">
        <v>29</v>
      </c>
      <c r="C142" s="14" t="n">
        <v>29</v>
      </c>
      <c r="D142" s="14" t="s">
        <v>119</v>
      </c>
      <c r="E142" s="14" t="n">
        <f aca="false">E135</f>
        <v>2</v>
      </c>
      <c r="F142" s="16" t="s">
        <v>116</v>
      </c>
    </row>
    <row r="143" customFormat="false" ht="15" hidden="false" customHeight="true" outlineLevel="0" collapsed="false">
      <c r="B143" s="14" t="n">
        <v>30</v>
      </c>
      <c r="C143" s="14" t="n">
        <v>30</v>
      </c>
      <c r="D143" s="14" t="s">
        <v>120</v>
      </c>
      <c r="E143" s="19" t="n">
        <f aca="false">E134</f>
        <v>600000</v>
      </c>
      <c r="F143" s="16" t="s">
        <v>116</v>
      </c>
    </row>
    <row r="144" customFormat="false" ht="15" hidden="false" customHeight="true" outlineLevel="0" collapsed="false">
      <c r="B144" s="14" t="n">
        <v>31</v>
      </c>
      <c r="C144" s="14" t="n">
        <v>31</v>
      </c>
      <c r="D144" s="14" t="s">
        <v>121</v>
      </c>
      <c r="E144" s="20" t="n">
        <f aca="false">E138</f>
        <v>300000</v>
      </c>
      <c r="F144" s="16" t="s">
        <v>116</v>
      </c>
    </row>
    <row r="145" customFormat="false" ht="15" hidden="false" customHeight="true" outlineLevel="0" collapsed="false">
      <c r="B145" s="14" t="n">
        <v>32</v>
      </c>
      <c r="C145" s="14" t="n">
        <v>32</v>
      </c>
      <c r="D145" s="14" t="s">
        <v>122</v>
      </c>
      <c r="E145" s="14" t="str">
        <f aca="false">E137</f>
        <v>Tope alcanzado</v>
      </c>
      <c r="F145" s="16" t="s">
        <v>116</v>
      </c>
    </row>
  </sheetData>
  <mergeCells count="8">
    <mergeCell ref="B5:D5"/>
    <mergeCell ref="B6:D6"/>
    <mergeCell ref="B49:D49"/>
    <mergeCell ref="B50:D50"/>
    <mergeCell ref="B88:D88"/>
    <mergeCell ref="B89:D89"/>
    <mergeCell ref="B110:D110"/>
    <mergeCell ref="B111:D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2026-09-30T00:34:37Z</dcterms:created>
  <dc:creator>openpyxl</dc:creator>
  <dc:description/>
  <dc:language>en-US</dc:language>
  <cp:lastModifiedBy/>
  <dcterms:modified xsi:type="dcterms:W3CDTF">2026-09-30T00:38:02Z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